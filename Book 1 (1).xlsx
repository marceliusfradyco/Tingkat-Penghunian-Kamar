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B86630AF-FACB-4046-9FDE-49B555949A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A28" i="1"/>
  <c r="A27" i="1"/>
  <c r="A26" i="1"/>
  <c r="A24" i="1"/>
  <c r="B11" i="1"/>
  <c r="E15" i="1" s="1"/>
  <c r="A35" i="1" l="1"/>
  <c r="C15" i="1"/>
  <c r="G15" i="1"/>
  <c r="H15" i="1"/>
  <c r="I15" i="1"/>
  <c r="J15" i="1"/>
  <c r="K15" i="1"/>
  <c r="L15" i="1"/>
  <c r="M15" i="1"/>
  <c r="B15" i="1"/>
  <c r="D15" i="1"/>
  <c r="F15" i="1"/>
  <c r="A15" i="1"/>
</calcChain>
</file>

<file path=xl/sharedStrings.xml><?xml version="1.0" encoding="utf-8"?>
<sst xmlns="http://schemas.openxmlformats.org/spreadsheetml/2006/main" count="47" uniqueCount="47">
  <si>
    <t>II.A</t>
  </si>
  <si>
    <t>Variabel X (Independen) = Waktu / Periode Bulanan</t>
  </si>
  <si>
    <t>Variabel Y (Dependen) = Presentase TPK</t>
  </si>
  <si>
    <t>Sumber Data = Website BPS</t>
  </si>
  <si>
    <t>Provinsi</t>
  </si>
  <si>
    <t>Tingkat Penghunian Kamar pada Hotel Bintang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</si>
  <si>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</si>
  <si>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</si>
  <si>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</si>
  <si>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</si>
  <si>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</si>
  <si>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</si>
  <si>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</si>
  <si>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</si>
  <si>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</si>
  <si>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</si>
  <si>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</si>
  <si>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</si>
  <si>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Tahunan</t>
  </si>
  <si>
    <t>DKI JAKARTA</t>
  </si>
  <si>
    <t>II.B</t>
  </si>
  <si>
    <t>II.B.1</t>
  </si>
  <si>
    <t>Rata-rata</t>
  </si>
  <si>
    <t>Varians</t>
  </si>
  <si>
    <t>Standar Deviasi</t>
  </si>
  <si>
    <t>II.B.2</t>
  </si>
  <si>
    <t xml:space="preserve">Sifat Data (Homogen VS Heterogen) </t>
  </si>
  <si>
    <t>Data TPK cenderung Heterogen (Menyebar Luas)</t>
  </si>
  <si>
    <t>Alasannya : Hal ini dibuktikan dengan rentang nilai Z-score yang lebar, mulai dari titik terendah -1,68 hingga titik tertinggi 1,54. Jarak antar nilai yang signifikan antar bulan, bukan angka yang stabil mengelompok di satu titik.</t>
  </si>
  <si>
    <t>Temuan data Extrem (Penurunan) : Berada pada bulan maret (z = -1,68)</t>
  </si>
  <si>
    <t>Analisis Penyebab : Penurunan drastis ini di karenakan adanya siklus low season</t>
  </si>
  <si>
    <t>Temuan Data Extrem (Lonjakan Tinggi) : Berada pada bukan November (z = 1,54)</t>
  </si>
  <si>
    <t>Analisis Penyebab : Lonjakan ini menunjukan awal fenomena High Season di akhir tahun</t>
  </si>
  <si>
    <t>II.C.1</t>
  </si>
  <si>
    <t>II.C.2</t>
  </si>
  <si>
    <t>bulan yang sangat ramai (ada 2, november dan desember) (&gt;60%)</t>
  </si>
  <si>
    <t>bulan yang sangat sepi (ada 2, maret dan april) (&lt;45%)</t>
  </si>
  <si>
    <t>peluang gabungan (saling lepas)</t>
  </si>
  <si>
    <t>II.D</t>
  </si>
  <si>
    <t>II.D.1</t>
  </si>
  <si>
    <t>Jenis Distribusi : distribusi kontinu</t>
  </si>
  <si>
    <t>II.D.2</t>
  </si>
  <si>
    <t>Alasannya : Karena data TPK diukur dalam bentuk presentase yang memiliki angka desimal (seperti 51,73%). Data ini memiliki beberapa nilai pun dalam rentang 0% sampai 100%, bukan angka bulat.</t>
  </si>
  <si>
    <t>Rumus prediksi peluang</t>
  </si>
  <si>
    <t>Peluang hotel untuk mencapai TPK di atas 70% hanya sebesar 0,17%</t>
  </si>
  <si>
    <t>kesimpulan</t>
  </si>
  <si>
    <t>secara statistik, target okupansi 70% hampir mustahil tercapai jika hanya mengandalkan tren data tahun 2024. Perlu ada strategi pemasaran yang luar biasa atau event besar untuk menembus angka tersebut.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</si>
</sst>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Tingkat Penghunian Kamar pada Hotel Bintang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Periode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Sheet1!$B$7:$M$7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Sheet1!$B$8:$M$8</c:f>
              <c:numCache>
                <c:formatCode>General</c:formatCode>
                <c:ptCount val="12"/>
                <c:pt idx="0">
                  <c:v>51.73</c:v>
                </c:pt>
                <c:pt idx="1">
                  <c:v>51.08</c:v>
                </c:pt>
                <c:pt idx="2">
                  <c:v>44.08</c:v>
                </c:pt>
                <c:pt idx="3">
                  <c:v>43.47</c:v>
                </c:pt>
                <c:pt idx="4">
                  <c:v>52.79</c:v>
                </c:pt>
                <c:pt idx="5">
                  <c:v>51.54</c:v>
                </c:pt>
                <c:pt idx="6">
                  <c:v>54.23</c:v>
                </c:pt>
                <c:pt idx="7">
                  <c:v>53.28</c:v>
                </c:pt>
                <c:pt idx="8">
                  <c:v>53.47</c:v>
                </c:pt>
                <c:pt idx="9">
                  <c:v>59.78</c:v>
                </c:pt>
                <c:pt idx="10">
                  <c:v>60.53</c:v>
                </c:pt>
                <c:pt idx="11">
                  <c:v>62.05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14-4B37-BF53-8619F6F67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498055"/>
        <c:axId val="597675016"/>
      </c:lineChart>
      <c:catAx>
        <c:axId val="2098498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75016"/>
        <c:crosses val="autoZero"/>
        <c:auto val="1"/>
        <c:lblAlgn val="ctr"/>
        <c:lblOffset val="100"/>
        <c:noMultiLvlLbl val="0"/>
      </c:catAx>
      <c:valAx>
        <c:axId val="59767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Presentase TPK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98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581025</xdr:colOff>
      <xdr:row>0</xdr:row>
      <xdr:rowOff>114300</xdr:rowOff>
    </xdr:from>
    <xdr:to>
      <xdr:col>23</xdr:col>
      <xdr:colOff>114300</xdr:colOff>
      <xdr:row>14</xdr:row>
      <xdr:rowOff>76200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AC28BE78-39AE-8E20-3BE2-88B299555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topLeftCell="A28" workbookViewId="0">
      <selection activeCell="B40" sqref="B40"/>
    </sheetView>
  </sheetViews>
  <sheetFormatPr defaultRowHeight="15"/>
  <cols>
    <col min="1" max="1" width="15.5703125" customWidth="1"/>
    <col min="2" max="2" width="13.7109375" customWidth="1"/>
    <col min="10" max="10" width="10.7109375" bestFit="1" customWidth="1"/>
    <col min="12" max="12" width="10.28515625" bestFit="1" customWidth="1"/>
    <col min="13" max="13" width="10" bestFit="1" customWidth="1"/>
    <col min="14" max="14" width="11.42578125" customWidth="1"/>
  </cols>
  <sheetData>
    <row r="1" spans="1:20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>
      <c r="A2" s="13" t="s">
        <v>1</v>
      </c>
      <c r="B2" s="13"/>
      <c r="C2" s="13"/>
      <c r="D2" s="1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>
      <c r="A3" s="13" t="s">
        <v>2</v>
      </c>
      <c r="B3" s="13"/>
      <c r="C3" s="13"/>
      <c r="D3" s="1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0">
      <c r="A4" s="13" t="s">
        <v>3</v>
      </c>
      <c r="B4" s="13"/>
      <c r="C4" s="13"/>
      <c r="D4" s="1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0">
      <c r="A5" s="15" t="s">
        <v>4</v>
      </c>
      <c r="B5" s="14" t="s">
        <v>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2"/>
      <c r="P5" s="2"/>
      <c r="Q5" s="2"/>
      <c r="R5" s="2"/>
    </row>
    <row r="6" spans="1:20">
      <c r="A6" s="16"/>
      <c r="B6" s="14">
        <v>2024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2"/>
      <c r="P6" s="2"/>
      <c r="Q6" s="2"/>
      <c r="R6" s="2"/>
    </row>
    <row r="7" spans="1:20">
      <c r="A7" s="17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18</v>
      </c>
      <c r="O7" s="2"/>
      <c r="P7" s="2"/>
      <c r="Q7" s="2"/>
      <c r="R7" s="2"/>
    </row>
    <row r="8" spans="1:20">
      <c r="A8" s="12" t="s">
        <v>19</v>
      </c>
      <c r="B8" s="12">
        <v>51.73</v>
      </c>
      <c r="C8" s="12">
        <v>51.08</v>
      </c>
      <c r="D8" s="12">
        <v>44.08</v>
      </c>
      <c r="E8" s="12">
        <v>43.47</v>
      </c>
      <c r="F8" s="12">
        <v>52.79</v>
      </c>
      <c r="G8" s="12">
        <v>51.54</v>
      </c>
      <c r="H8" s="12">
        <v>54.23</v>
      </c>
      <c r="I8" s="12">
        <v>53.28</v>
      </c>
      <c r="J8" s="12">
        <v>53.47</v>
      </c>
      <c r="K8" s="12">
        <v>59.78</v>
      </c>
      <c r="L8" s="12">
        <v>60.53</v>
      </c>
      <c r="M8" s="12">
        <v>62.05</v>
      </c>
      <c r="N8" s="12">
        <v>53.38</v>
      </c>
      <c r="O8" s="2"/>
      <c r="P8" s="2"/>
      <c r="Q8" s="2"/>
      <c r="R8" s="2"/>
    </row>
    <row r="9" spans="1:20">
      <c r="A9" s="8" t="s">
        <v>20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0">
      <c r="A10" s="8" t="s">
        <v>21</v>
      </c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20">
      <c r="A11" s="2" t="s">
        <v>22</v>
      </c>
      <c r="B11" s="2">
        <f>AVERAGE(B8:M8)</f>
        <v>53.169166666666662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0">
      <c r="A12" s="2" t="s">
        <v>23</v>
      </c>
      <c r="B12" s="2">
        <f>_xlfn.VAR.S(B8:M8)</f>
        <v>33.082081060606555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0">
      <c r="A13" s="4" t="s">
        <v>24</v>
      </c>
      <c r="B13" s="2">
        <f>_xlfn.STDEV.S(B8:M8)</f>
        <v>5.7517024488934192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0">
      <c r="A14" s="8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0">
      <c r="A15" s="5">
        <f>(B8-$B$11)/$B$13</f>
        <v>-0.25021577167009901</v>
      </c>
      <c r="B15" s="5">
        <f t="shared" ref="B15:N15" si="0">(C8-$B$11)/$B$13</f>
        <v>-0.36322579014298667</v>
      </c>
      <c r="C15" s="5">
        <f t="shared" si="0"/>
        <v>-1.5802567583125489</v>
      </c>
      <c r="D15" s="5">
        <f t="shared" si="0"/>
        <v>-1.6863123141101821</v>
      </c>
      <c r="E15" s="5">
        <f>(F8-$B$11)/$B$13</f>
        <v>-6.5922510775850623E-2</v>
      </c>
      <c r="F15" s="5">
        <f t="shared" si="0"/>
        <v>-0.28324946937755818</v>
      </c>
      <c r="G15" s="5">
        <f t="shared" si="0"/>
        <v>0.18443814553331606</v>
      </c>
      <c r="H15" s="5">
        <f t="shared" si="0"/>
        <v>1.9269656996019072E-2</v>
      </c>
      <c r="I15" s="5">
        <f t="shared" si="0"/>
        <v>5.2303354703478223E-2</v>
      </c>
      <c r="J15" s="5">
        <f t="shared" si="0"/>
        <v>1.1493698417248983</v>
      </c>
      <c r="K15" s="5">
        <f t="shared" si="0"/>
        <v>1.2797660168859228</v>
      </c>
      <c r="L15" s="5">
        <f t="shared" si="0"/>
        <v>1.5440355985455985</v>
      </c>
      <c r="M15" s="5">
        <f t="shared" si="0"/>
        <v>3.6655813684155922E-2</v>
      </c>
      <c r="N15" s="5"/>
      <c r="O15" s="2"/>
      <c r="P15" s="2"/>
      <c r="Q15" s="2"/>
      <c r="R15" s="2"/>
    </row>
    <row r="16" spans="1:20">
      <c r="A16" s="13" t="s">
        <v>26</v>
      </c>
      <c r="B16" s="13"/>
      <c r="C16" s="13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0"/>
      <c r="P16" s="10"/>
      <c r="Q16" s="10"/>
      <c r="R16" s="10"/>
      <c r="S16" s="1"/>
      <c r="T16" s="1"/>
    </row>
    <row r="17" spans="1:20">
      <c r="A17" s="13" t="s">
        <v>27</v>
      </c>
      <c r="B17" s="13"/>
      <c r="C17" s="13"/>
      <c r="D17" s="13"/>
      <c r="E17" s="7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  <c r="Q17" s="10"/>
      <c r="R17" s="10"/>
      <c r="S17" s="1"/>
      <c r="T17" s="1"/>
    </row>
    <row r="18" spans="1:20">
      <c r="A18" s="13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>
      <c r="A19" s="13" t="s">
        <v>29</v>
      </c>
      <c r="B19" s="13"/>
      <c r="C19" s="13"/>
      <c r="D19" s="13"/>
      <c r="E19" s="13"/>
      <c r="F19" s="13"/>
      <c r="G19" s="13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>
      <c r="A20" s="13" t="s">
        <v>30</v>
      </c>
      <c r="B20" s="13"/>
      <c r="C20" s="13"/>
      <c r="D20" s="13"/>
      <c r="E20" s="13"/>
      <c r="F20" s="13"/>
      <c r="G20" s="1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>
      <c r="A21" s="13" t="s">
        <v>31</v>
      </c>
      <c r="B21" s="13"/>
      <c r="C21" s="13"/>
      <c r="D21" s="13"/>
      <c r="E21" s="13"/>
      <c r="F21" s="13"/>
      <c r="G21" s="1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>
      <c r="A22" s="13" t="s">
        <v>32</v>
      </c>
      <c r="B22" s="13"/>
      <c r="C22" s="13"/>
      <c r="D22" s="13"/>
      <c r="E22" s="13"/>
      <c r="F22" s="13"/>
      <c r="G22" s="13"/>
      <c r="H22" s="1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>
      <c r="A23" s="3" t="s">
        <v>33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>
      <c r="A24" s="2">
        <f>COUNTIF(B8:M8,"&gt;60")/12</f>
        <v>0.16666666666666666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>
      <c r="A25" s="3" t="s">
        <v>34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>
      <c r="A26" s="4">
        <f>COUNTIF(B8:M8,"&gt;60")</f>
        <v>2</v>
      </c>
      <c r="B26" s="13" t="s">
        <v>35</v>
      </c>
      <c r="C26" s="13"/>
      <c r="D26" s="13"/>
      <c r="E26" s="13"/>
      <c r="F26" s="13"/>
      <c r="G26" s="13"/>
      <c r="H26" s="13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>
      <c r="A27" s="2">
        <f>COUNTIF(B8:M8,"&lt;45")</f>
        <v>2</v>
      </c>
      <c r="B27" s="13" t="s">
        <v>36</v>
      </c>
      <c r="C27" s="13"/>
      <c r="D27" s="13"/>
      <c r="E27" s="13"/>
      <c r="F27" s="13"/>
      <c r="G27" s="13"/>
      <c r="H27" s="13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>
      <c r="A28" s="4">
        <f>(COUNTIF(B8:M8,"&gt;60")+COUNTIF(B8:M8,"&lt;45"))/12</f>
        <v>0.33333333333333331</v>
      </c>
      <c r="B28" s="13" t="s">
        <v>37</v>
      </c>
      <c r="C28" s="13"/>
      <c r="D28" s="13"/>
      <c r="E28" s="13"/>
      <c r="F28" s="13"/>
      <c r="G28" s="13"/>
      <c r="H28" s="13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>
      <c r="A29" s="3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>
      <c r="A30" s="3" t="s">
        <v>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>
      <c r="A31" s="13" t="s">
        <v>40</v>
      </c>
      <c r="B31" s="13"/>
      <c r="C31" s="1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>
      <c r="A32" s="9" t="s">
        <v>41</v>
      </c>
      <c r="B32" s="6"/>
      <c r="C32" s="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13" t="s">
        <v>42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2"/>
    </row>
    <row r="34" spans="1:18">
      <c r="A34" s="13" t="s">
        <v>43</v>
      </c>
      <c r="B34" s="13"/>
      <c r="C34" s="4"/>
      <c r="D34" s="4"/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2">
        <f>1-_xlfn.NORM.DIST(70,$B$11,$B$13,TRUE)</f>
        <v>1.7154580154505883E-3</v>
      </c>
      <c r="B35" s="13" t="s">
        <v>44</v>
      </c>
      <c r="C35" s="13"/>
      <c r="D35" s="13"/>
      <c r="E35" s="13"/>
      <c r="F35" s="13"/>
      <c r="G35" s="13"/>
      <c r="H35" s="13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3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13" t="s">
        <v>46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</sheetData>
  <mergeCells count="21">
    <mergeCell ref="A2:D2"/>
    <mergeCell ref="A3:D3"/>
    <mergeCell ref="B26:H26"/>
    <mergeCell ref="B27:H27"/>
    <mergeCell ref="B5:N5"/>
    <mergeCell ref="B6:N6"/>
    <mergeCell ref="A4:D4"/>
    <mergeCell ref="A5:A7"/>
    <mergeCell ref="A34:B34"/>
    <mergeCell ref="B35:H35"/>
    <mergeCell ref="A37:R37"/>
    <mergeCell ref="A16:C16"/>
    <mergeCell ref="A17:D17"/>
    <mergeCell ref="A18:T18"/>
    <mergeCell ref="A19:G19"/>
    <mergeCell ref="A20:G20"/>
    <mergeCell ref="A21:G21"/>
    <mergeCell ref="B28:H28"/>
    <mergeCell ref="A31:C31"/>
    <mergeCell ref="A33:Q33"/>
    <mergeCell ref="A22:H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2026-04-04T04:25:16Z</dcterms:created>
  <dcterms:modified xsi:type="dcterms:W3CDTF">2026-04-05T05:19:52Z</dcterms:modified>
  <cp:category/>
  <cp:contentStatus/>
</cp:coreProperties>
</file>